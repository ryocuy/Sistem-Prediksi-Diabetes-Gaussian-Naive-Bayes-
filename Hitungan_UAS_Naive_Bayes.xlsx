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tu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Outcome</t>
        </is>
      </c>
      <c r="J1" t="inlineStr">
        <is>
          <t>Naive Bayes Gaussian - Dataset Diabetes</t>
        </is>
      </c>
    </row>
    <row r="2">
      <c r="A2" t="n">
        <v>102</v>
      </c>
      <c r="B2" t="n">
        <v>21.30394857667585</v>
      </c>
      <c r="C2" t="n">
        <v>45</v>
      </c>
      <c r="D2" t="n">
        <v>1</v>
      </c>
    </row>
    <row r="3">
      <c r="A3" t="n">
        <v>74</v>
      </c>
      <c r="B3" t="n">
        <v>20.82999519307803</v>
      </c>
      <c r="C3" t="n">
        <v>45</v>
      </c>
      <c r="D3" t="n">
        <v>1</v>
      </c>
      <c r="J3" t="inlineStr">
        <is>
          <t>Kelas</t>
        </is>
      </c>
      <c r="K3" t="inlineStr">
        <is>
          <t>Jumlah</t>
        </is>
      </c>
      <c r="L3" t="inlineStr">
        <is>
          <t>P(H)</t>
        </is>
      </c>
    </row>
    <row r="4">
      <c r="A4" t="n">
        <v>94</v>
      </c>
      <c r="B4" t="n">
        <v>20.95660749506903</v>
      </c>
      <c r="C4" t="n">
        <v>49</v>
      </c>
      <c r="D4" t="n">
        <v>1</v>
      </c>
      <c r="J4" t="n">
        <v>1</v>
      </c>
      <c r="K4" t="n">
        <v>50</v>
      </c>
      <c r="L4">
        <f>K4/100</f>
        <v/>
      </c>
    </row>
    <row r="5">
      <c r="A5" t="n">
        <v>92</v>
      </c>
      <c r="B5" t="n">
        <v>24.24242424242425</v>
      </c>
      <c r="C5" t="n">
        <v>34</v>
      </c>
      <c r="D5" t="n">
        <v>1</v>
      </c>
      <c r="J5" t="n">
        <v>0</v>
      </c>
      <c r="K5" t="n">
        <v>50</v>
      </c>
      <c r="L5">
        <f>K5/100</f>
        <v/>
      </c>
    </row>
    <row r="6">
      <c r="A6" t="n">
        <v>93</v>
      </c>
      <c r="B6" t="n">
        <v>21.35991456034176</v>
      </c>
      <c r="C6" t="n">
        <v>42</v>
      </c>
      <c r="D6" t="n">
        <v>1</v>
      </c>
    </row>
    <row r="7">
      <c r="A7" t="n">
        <v>102</v>
      </c>
      <c r="B7" t="n">
        <v>21.0828132906055</v>
      </c>
      <c r="C7" t="n">
        <v>68</v>
      </c>
      <c r="D7" t="n">
        <v>1</v>
      </c>
      <c r="J7" t="inlineStr">
        <is>
          <t>Kelas 1</t>
        </is>
      </c>
    </row>
    <row r="8">
      <c r="A8" t="n">
        <v>93</v>
      </c>
      <c r="B8" t="n">
        <v>19.13265306122449</v>
      </c>
      <c r="C8" t="n">
        <v>51</v>
      </c>
      <c r="D8" t="n">
        <v>1</v>
      </c>
      <c r="J8" t="inlineStr">
        <is>
          <t>Rata-rata</t>
        </is>
      </c>
      <c r="K8" t="inlineStr">
        <is>
          <t>Glucose</t>
        </is>
      </c>
      <c r="L8" t="inlineStr">
        <is>
          <t>BMI</t>
        </is>
      </c>
      <c r="M8" t="inlineStr">
        <is>
          <t>Age</t>
        </is>
      </c>
    </row>
    <row r="9">
      <c r="A9" t="n">
        <v>92</v>
      </c>
      <c r="B9" t="n">
        <v>22.65625</v>
      </c>
      <c r="C9" t="n">
        <v>62</v>
      </c>
      <c r="D9" t="n">
        <v>1</v>
      </c>
      <c r="K9">
        <f>AVERAGE(A2:A51)</f>
        <v/>
      </c>
      <c r="L9">
        <f>AVERAGE(B2:B51)</f>
        <v/>
      </c>
      <c r="M9">
        <f>AVERAGE(C2:C51)</f>
        <v/>
      </c>
    </row>
    <row r="10">
      <c r="A10" t="n">
        <v>95</v>
      </c>
      <c r="B10" t="n">
        <v>22.49963710262738</v>
      </c>
      <c r="C10" t="n">
        <v>38</v>
      </c>
      <c r="D10" t="n">
        <v>1</v>
      </c>
      <c r="J10" t="inlineStr">
        <is>
          <t>Varian</t>
        </is>
      </c>
      <c r="K10">
        <f>VAR.S(A2:A51)</f>
        <v/>
      </c>
      <c r="L10">
        <f>VAR.S(B2:B51)</f>
        <v/>
      </c>
      <c r="M10">
        <f>VAR.S(C2:C51)</f>
        <v/>
      </c>
    </row>
    <row r="11">
      <c r="A11" t="n">
        <v>112</v>
      </c>
      <c r="B11" t="n">
        <v>21.51385851052386</v>
      </c>
      <c r="C11" t="n">
        <v>69</v>
      </c>
      <c r="D11" t="n">
        <v>1</v>
      </c>
    </row>
    <row r="12">
      <c r="A12" t="n">
        <v>78</v>
      </c>
      <c r="B12" t="n">
        <v>21.36752136752137</v>
      </c>
      <c r="C12" t="n">
        <v>49</v>
      </c>
      <c r="D12" t="n">
        <v>1</v>
      </c>
      <c r="J12" t="inlineStr">
        <is>
          <t>Kelas 0</t>
        </is>
      </c>
    </row>
    <row r="13">
      <c r="A13" t="n">
        <v>103</v>
      </c>
      <c r="B13" t="n">
        <v>22.89281997918834</v>
      </c>
      <c r="C13" t="n">
        <v>51</v>
      </c>
      <c r="D13" t="n">
        <v>1</v>
      </c>
      <c r="J13" t="inlineStr">
        <is>
          <t>Rata-rata</t>
        </is>
      </c>
      <c r="K13">
        <f>AVERAGE(A52:A101)</f>
        <v/>
      </c>
      <c r="L13">
        <f>AVERAGE(B52:B101)</f>
        <v/>
      </c>
      <c r="M13">
        <f>AVERAGE(C52:C101)</f>
        <v/>
      </c>
    </row>
    <row r="14">
      <c r="A14" t="n">
        <v>98</v>
      </c>
      <c r="B14" t="n">
        <v>22.83287934625861</v>
      </c>
      <c r="C14" t="n">
        <v>59</v>
      </c>
      <c r="D14" t="n">
        <v>1</v>
      </c>
      <c r="J14" t="inlineStr">
        <is>
          <t>Varian</t>
        </is>
      </c>
      <c r="K14">
        <f>VAR.S(A52:A101)</f>
        <v/>
      </c>
      <c r="L14">
        <f>VAR.S(B52:B101)</f>
        <v/>
      </c>
      <c r="M14">
        <f>VAR.S(C52:C101)</f>
        <v/>
      </c>
    </row>
    <row r="15">
      <c r="A15" t="n">
        <v>116</v>
      </c>
      <c r="B15" t="n">
        <v>23.1404958677686</v>
      </c>
      <c r="C15" t="n">
        <v>45</v>
      </c>
      <c r="D15" t="n">
        <v>1</v>
      </c>
    </row>
    <row r="16">
      <c r="A16" t="n">
        <v>86</v>
      </c>
      <c r="B16" t="n">
        <v>24.21875</v>
      </c>
      <c r="C16" t="n">
        <v>54</v>
      </c>
      <c r="D16" t="n">
        <v>1</v>
      </c>
      <c r="K16" t="inlineStr">
        <is>
          <t>Nilai</t>
        </is>
      </c>
      <c r="L16" t="inlineStr">
        <is>
          <t>Kelas 1</t>
        </is>
      </c>
      <c r="M16" t="inlineStr">
        <is>
          <t>Kelas 0</t>
        </is>
      </c>
    </row>
    <row r="17">
      <c r="A17" t="n">
        <v>98</v>
      </c>
      <c r="B17" t="n">
        <v>22.22222222222222</v>
      </c>
      <c r="C17" t="n">
        <v>64</v>
      </c>
      <c r="D17" t="n">
        <v>1</v>
      </c>
      <c r="J17" t="inlineStr">
        <is>
          <t>Glucose</t>
        </is>
      </c>
      <c r="K17" t="n">
        <v>120</v>
      </c>
      <c r="L17">
        <f>1/SQRT(2*3.14*K10)*(2.72^(-1*((K17-K9)^2)/(2*K10)))</f>
        <v/>
      </c>
      <c r="M17">
        <f>1/SQRT(2*3.14*K14)*(2.72^(-1*((K17-K13)^2)/(2*K14)))</f>
        <v/>
      </c>
    </row>
    <row r="18">
      <c r="A18" t="n">
        <v>88</v>
      </c>
      <c r="B18" t="n">
        <v>20.83</v>
      </c>
      <c r="C18" t="n">
        <v>46</v>
      </c>
      <c r="D18" t="n">
        <v>1</v>
      </c>
      <c r="J18" t="inlineStr">
        <is>
          <t>BMI</t>
        </is>
      </c>
      <c r="K18" t="n">
        <v>25</v>
      </c>
      <c r="L18">
        <f>1/SQRT(2*3.14*L10)*(2.72^(-1*((K18-L9)^2)/(2*L10)))</f>
        <v/>
      </c>
      <c r="M18">
        <f>1/SQRT(2*3.14*L14)*(2.72^(-1*((K18-L13)^2)/(2*L14)))</f>
        <v/>
      </c>
    </row>
    <row r="19">
      <c r="A19" t="n">
        <v>114</v>
      </c>
      <c r="B19" t="n">
        <v>19.56</v>
      </c>
      <c r="C19" t="n">
        <v>44</v>
      </c>
      <c r="D19" t="n">
        <v>1</v>
      </c>
      <c r="J19" t="inlineStr">
        <is>
          <t>Age</t>
        </is>
      </c>
      <c r="K19" t="n">
        <v>30</v>
      </c>
      <c r="L19">
        <f>1/SQRT(2*3.14*M10)*(2.72^(-1*((K19-M9)^2)/(2*M10)))</f>
        <v/>
      </c>
      <c r="M19">
        <f>1/SQRT(2*3.14*M14)*(2.72^(-1*((K19-M13)^2)/(2*M14)))</f>
        <v/>
      </c>
    </row>
    <row r="20">
      <c r="A20" t="n">
        <v>92</v>
      </c>
      <c r="B20" t="n">
        <v>20.26</v>
      </c>
      <c r="C20" t="n">
        <v>45</v>
      </c>
      <c r="D20" t="n">
        <v>1</v>
      </c>
      <c r="J20" t="inlineStr">
        <is>
          <t>output?</t>
        </is>
      </c>
      <c r="K20" t="n">
        <v>1</v>
      </c>
    </row>
    <row r="21">
      <c r="A21" t="n">
        <v>106</v>
      </c>
      <c r="B21" t="n">
        <v>24.74</v>
      </c>
      <c r="C21" t="n">
        <v>44</v>
      </c>
      <c r="D21" t="n">
        <v>1</v>
      </c>
      <c r="J21" t="inlineStr">
        <is>
          <t>Akhir Kali</t>
        </is>
      </c>
      <c r="K21" t="inlineStr">
        <is>
          <t>Kelas 1</t>
        </is>
      </c>
      <c r="L21" t="inlineStr">
        <is>
          <t>Kelas 0</t>
        </is>
      </c>
    </row>
    <row r="22">
      <c r="A22" t="n">
        <v>105</v>
      </c>
      <c r="B22" t="n">
        <v>18.37</v>
      </c>
      <c r="C22" t="n">
        <v>51</v>
      </c>
      <c r="D22" t="n">
        <v>1</v>
      </c>
      <c r="K22">
        <f>L4*L17*L18*L19</f>
        <v/>
      </c>
      <c r="L22">
        <f>L5*M17*M18*M19</f>
        <v/>
      </c>
    </row>
    <row r="23">
      <c r="A23" t="n">
        <v>105</v>
      </c>
      <c r="B23" t="n">
        <v>23.62</v>
      </c>
      <c r="C23" t="n">
        <v>72</v>
      </c>
      <c r="D23" t="n">
        <v>1</v>
      </c>
      <c r="J23" t="inlineStr">
        <is>
          <t>Hasil Prediksi</t>
        </is>
      </c>
      <c r="K23">
        <f>IF(K22&gt;L22, "Kelas 1", "Kelas 0")</f>
        <v/>
      </c>
    </row>
    <row r="24">
      <c r="A24" t="n">
        <v>86</v>
      </c>
      <c r="B24" t="n">
        <v>22.21</v>
      </c>
      <c r="C24" t="n">
        <v>46</v>
      </c>
      <c r="D24" t="n">
        <v>1</v>
      </c>
      <c r="J24" t="inlineStr">
        <is>
          <t>cari nilai probabilitas tertinggi</t>
        </is>
      </c>
      <c r="K24">
        <f>IF(K22&gt;L22, "Kelas 1 (Sakit)", "Kelas 0 (Negatif/Sehat)")</f>
        <v/>
      </c>
    </row>
    <row r="25">
      <c r="A25" t="n">
        <v>101</v>
      </c>
      <c r="B25" t="n">
        <v>26.5625</v>
      </c>
      <c r="C25" t="n">
        <v>43</v>
      </c>
      <c r="D25" t="n">
        <v>1</v>
      </c>
    </row>
    <row r="26">
      <c r="A26" t="n">
        <v>92</v>
      </c>
      <c r="B26" t="n">
        <v>31.97501487209995</v>
      </c>
      <c r="C26" t="n">
        <v>55</v>
      </c>
      <c r="D26" t="n">
        <v>1</v>
      </c>
    </row>
    <row r="27">
      <c r="A27" t="n">
        <v>103</v>
      </c>
      <c r="B27" t="n">
        <v>31.24999999999999</v>
      </c>
      <c r="C27" t="n">
        <v>43</v>
      </c>
      <c r="D27" t="n">
        <v>1</v>
      </c>
    </row>
    <row r="28">
      <c r="A28" t="n">
        <v>201</v>
      </c>
      <c r="B28" t="n">
        <v>26.66666666666667</v>
      </c>
      <c r="C28" t="n">
        <v>86</v>
      </c>
      <c r="D28" t="n">
        <v>1</v>
      </c>
    </row>
    <row r="29">
      <c r="A29" t="n">
        <v>97</v>
      </c>
      <c r="B29" t="n">
        <v>26.6727632982777</v>
      </c>
      <c r="C29" t="n">
        <v>41</v>
      </c>
      <c r="D29" t="n">
        <v>1</v>
      </c>
    </row>
    <row r="30">
      <c r="A30" t="n">
        <v>77</v>
      </c>
      <c r="B30" t="n">
        <v>28.67262607522348</v>
      </c>
      <c r="C30" t="n">
        <v>59</v>
      </c>
      <c r="D30" t="n">
        <v>1</v>
      </c>
    </row>
    <row r="31">
      <c r="A31" t="n">
        <v>100</v>
      </c>
      <c r="B31" t="n">
        <v>31.64036817882971</v>
      </c>
      <c r="C31" t="n">
        <v>81</v>
      </c>
      <c r="D31" t="n">
        <v>1</v>
      </c>
    </row>
    <row r="32">
      <c r="A32" t="n">
        <v>99</v>
      </c>
      <c r="B32" t="n">
        <v>32.46191135734072</v>
      </c>
      <c r="C32" t="n">
        <v>48</v>
      </c>
      <c r="D32" t="n">
        <v>1</v>
      </c>
    </row>
    <row r="33">
      <c r="A33" t="n">
        <v>112</v>
      </c>
      <c r="B33" t="n">
        <v>25.51020408163266</v>
      </c>
      <c r="C33" t="n">
        <v>71</v>
      </c>
      <c r="D33" t="n">
        <v>1</v>
      </c>
    </row>
    <row r="34">
      <c r="A34" t="n">
        <v>98</v>
      </c>
      <c r="B34" t="n">
        <v>29.29687499999999</v>
      </c>
      <c r="C34" t="n">
        <v>42</v>
      </c>
      <c r="D34" t="n">
        <v>1</v>
      </c>
    </row>
    <row r="35">
      <c r="A35" t="n">
        <v>85</v>
      </c>
      <c r="B35" t="n">
        <v>29.66654800047466</v>
      </c>
      <c r="C35" t="n">
        <v>65</v>
      </c>
      <c r="D35" t="n">
        <v>1</v>
      </c>
    </row>
    <row r="36">
      <c r="A36" t="n">
        <v>90</v>
      </c>
      <c r="B36" t="n">
        <v>28.12499999999999</v>
      </c>
      <c r="C36" t="n">
        <v>48</v>
      </c>
      <c r="D36" t="n">
        <v>1</v>
      </c>
    </row>
    <row r="37">
      <c r="A37" t="n">
        <v>196</v>
      </c>
      <c r="B37" t="n">
        <v>27.68877813377635</v>
      </c>
      <c r="C37" t="n">
        <v>85</v>
      </c>
      <c r="D37" t="n">
        <v>1</v>
      </c>
    </row>
    <row r="38">
      <c r="A38" t="n">
        <v>199</v>
      </c>
      <c r="B38" t="n">
        <v>31.24999999999999</v>
      </c>
      <c r="C38" t="n">
        <v>48</v>
      </c>
      <c r="D38" t="n">
        <v>1</v>
      </c>
    </row>
    <row r="39">
      <c r="A39" t="n">
        <v>139</v>
      </c>
      <c r="B39" t="n">
        <v>29.15451895043732</v>
      </c>
      <c r="C39" t="n">
        <v>58</v>
      </c>
      <c r="D39" t="n">
        <v>1</v>
      </c>
    </row>
    <row r="40">
      <c r="A40" t="n">
        <v>128</v>
      </c>
      <c r="B40" t="n">
        <v>30.83653053175087</v>
      </c>
      <c r="C40" t="n">
        <v>40</v>
      </c>
      <c r="D40" t="n">
        <v>1</v>
      </c>
    </row>
    <row r="41">
      <c r="A41" t="n">
        <v>100</v>
      </c>
      <c r="B41" t="n">
        <v>31.21748178980229</v>
      </c>
      <c r="C41" t="n">
        <v>82</v>
      </c>
      <c r="D41" t="n">
        <v>1</v>
      </c>
    </row>
    <row r="42">
      <c r="A42" t="n">
        <v>87</v>
      </c>
      <c r="B42" t="n">
        <v>30.80124869927159</v>
      </c>
      <c r="C42" t="n">
        <v>52</v>
      </c>
      <c r="D42" t="n">
        <v>1</v>
      </c>
    </row>
    <row r="43">
      <c r="A43" t="n">
        <v>134</v>
      </c>
      <c r="B43" t="n">
        <v>32.46191135734072</v>
      </c>
      <c r="C43" t="n">
        <v>49</v>
      </c>
      <c r="D43" t="n">
        <v>1</v>
      </c>
    </row>
    <row r="44">
      <c r="A44" t="n">
        <v>131</v>
      </c>
      <c r="B44" t="n">
        <v>31.23140987507437</v>
      </c>
      <c r="C44" t="n">
        <v>60</v>
      </c>
      <c r="D44" t="n">
        <v>1</v>
      </c>
    </row>
    <row r="45">
      <c r="A45" t="n">
        <v>70</v>
      </c>
      <c r="B45" t="n">
        <v>29.77777777777778</v>
      </c>
      <c r="C45" t="n">
        <v>49</v>
      </c>
      <c r="D45" t="n">
        <v>1</v>
      </c>
    </row>
    <row r="46">
      <c r="A46" t="n">
        <v>99</v>
      </c>
      <c r="B46" t="n">
        <v>27.88761706555671</v>
      </c>
      <c r="C46" t="n">
        <v>44</v>
      </c>
      <c r="D46" t="n">
        <v>1</v>
      </c>
    </row>
    <row r="47">
      <c r="A47" t="n">
        <v>103</v>
      </c>
      <c r="B47" t="n">
        <v>27.63605442176871</v>
      </c>
      <c r="C47" t="n">
        <v>40</v>
      </c>
      <c r="D47" t="n">
        <v>1</v>
      </c>
    </row>
    <row r="48">
      <c r="A48" t="n">
        <v>104</v>
      </c>
      <c r="B48" t="n">
        <v>27.91551882460974</v>
      </c>
      <c r="C48" t="n">
        <v>71</v>
      </c>
      <c r="D48" t="n">
        <v>1</v>
      </c>
    </row>
    <row r="49">
      <c r="A49" t="n">
        <v>108</v>
      </c>
      <c r="B49" t="n">
        <v>28.44444444444444</v>
      </c>
      <c r="C49" t="n">
        <v>69</v>
      </c>
      <c r="D49" t="n">
        <v>1</v>
      </c>
    </row>
    <row r="50">
      <c r="A50" t="n">
        <v>88</v>
      </c>
      <c r="B50" t="n">
        <v>28.65013774104683</v>
      </c>
      <c r="C50" t="n">
        <v>74</v>
      </c>
      <c r="D50" t="n">
        <v>1</v>
      </c>
    </row>
    <row r="51">
      <c r="A51" t="n">
        <v>89</v>
      </c>
      <c r="B51" t="n">
        <v>26.5625</v>
      </c>
      <c r="C51" t="n">
        <v>66</v>
      </c>
      <c r="D51" t="n">
        <v>1</v>
      </c>
    </row>
    <row r="52">
      <c r="A52" t="n">
        <v>70</v>
      </c>
      <c r="B52" t="n">
        <v>23.5</v>
      </c>
      <c r="C52" t="n">
        <v>48</v>
      </c>
      <c r="D52" t="n">
        <v>0</v>
      </c>
    </row>
    <row r="53">
      <c r="A53" t="n">
        <v>92</v>
      </c>
      <c r="B53" t="n">
        <v>20.69049454338918</v>
      </c>
      <c r="C53" t="n">
        <v>83</v>
      </c>
      <c r="D53" t="n">
        <v>0</v>
      </c>
    </row>
    <row r="54">
      <c r="A54" t="n">
        <v>91</v>
      </c>
      <c r="B54" t="n">
        <v>23.1246703720232</v>
      </c>
      <c r="C54" t="n">
        <v>82</v>
      </c>
      <c r="D54" t="n">
        <v>0</v>
      </c>
    </row>
    <row r="55">
      <c r="A55" t="n">
        <v>77</v>
      </c>
      <c r="B55" t="n">
        <v>21.36752136752137</v>
      </c>
      <c r="C55" t="n">
        <v>68</v>
      </c>
      <c r="D55" t="n">
        <v>0</v>
      </c>
    </row>
    <row r="56">
      <c r="A56" t="n">
        <v>92</v>
      </c>
      <c r="B56" t="n">
        <v>21.11111111111111</v>
      </c>
      <c r="C56" t="n">
        <v>86</v>
      </c>
      <c r="D56" t="n">
        <v>0</v>
      </c>
    </row>
    <row r="57">
      <c r="A57" t="n">
        <v>92</v>
      </c>
      <c r="B57" t="n">
        <v>22.85445768721432</v>
      </c>
      <c r="C57" t="n">
        <v>49</v>
      </c>
      <c r="D57" t="n">
        <v>0</v>
      </c>
    </row>
    <row r="58">
      <c r="A58" t="n">
        <v>77</v>
      </c>
      <c r="B58" t="n">
        <v>22.7</v>
      </c>
      <c r="C58" t="n">
        <v>89</v>
      </c>
      <c r="D58" t="n">
        <v>0</v>
      </c>
    </row>
    <row r="59">
      <c r="A59" t="n">
        <v>118</v>
      </c>
      <c r="B59" t="n">
        <v>23.8</v>
      </c>
      <c r="C59" t="n">
        <v>76</v>
      </c>
      <c r="D59" t="n">
        <v>0</v>
      </c>
    </row>
    <row r="60">
      <c r="A60" t="n">
        <v>97</v>
      </c>
      <c r="B60" t="n">
        <v>22</v>
      </c>
      <c r="C60" t="n">
        <v>73</v>
      </c>
      <c r="D60" t="n">
        <v>0</v>
      </c>
    </row>
    <row r="61">
      <c r="A61" t="n">
        <v>83</v>
      </c>
      <c r="B61" t="n">
        <v>23</v>
      </c>
      <c r="C61" t="n">
        <v>75</v>
      </c>
      <c r="D61" t="n">
        <v>0</v>
      </c>
    </row>
    <row r="62">
      <c r="A62" t="n">
        <v>78</v>
      </c>
      <c r="B62" t="n">
        <v>21.47</v>
      </c>
      <c r="C62" t="n">
        <v>34</v>
      </c>
      <c r="D62" t="n">
        <v>0</v>
      </c>
    </row>
    <row r="63">
      <c r="A63" t="n">
        <v>82</v>
      </c>
      <c r="B63" t="n">
        <v>23.01</v>
      </c>
      <c r="C63" t="n">
        <v>29</v>
      </c>
      <c r="D63" t="n">
        <v>0</v>
      </c>
    </row>
    <row r="64">
      <c r="A64" t="n">
        <v>82</v>
      </c>
      <c r="B64" t="n">
        <v>22.86</v>
      </c>
      <c r="C64" t="n">
        <v>25</v>
      </c>
      <c r="D64" t="n">
        <v>0</v>
      </c>
    </row>
    <row r="65">
      <c r="A65" t="n">
        <v>88</v>
      </c>
      <c r="B65" t="n">
        <v>18.67</v>
      </c>
      <c r="C65" t="n">
        <v>24</v>
      </c>
      <c r="D65" t="n">
        <v>0</v>
      </c>
    </row>
    <row r="66">
      <c r="A66" t="n">
        <v>75</v>
      </c>
      <c r="B66" t="n">
        <v>23.34</v>
      </c>
      <c r="C66" t="n">
        <v>38</v>
      </c>
      <c r="D66" t="n">
        <v>0</v>
      </c>
    </row>
    <row r="67">
      <c r="A67" t="n">
        <v>86</v>
      </c>
      <c r="B67" t="n">
        <v>20.76</v>
      </c>
      <c r="C67" t="n">
        <v>44</v>
      </c>
      <c r="D67" t="n">
        <v>0</v>
      </c>
    </row>
    <row r="68">
      <c r="A68" t="n">
        <v>84</v>
      </c>
      <c r="B68" t="n">
        <v>22.03</v>
      </c>
      <c r="C68" t="n">
        <v>47</v>
      </c>
      <c r="D68" t="n">
        <v>0</v>
      </c>
    </row>
    <row r="69">
      <c r="A69" t="n">
        <v>85</v>
      </c>
      <c r="B69" t="n">
        <v>32.03895937459951</v>
      </c>
      <c r="C69" t="n">
        <v>61</v>
      </c>
      <c r="D69" t="n">
        <v>0</v>
      </c>
    </row>
    <row r="70">
      <c r="A70" t="n">
        <v>95</v>
      </c>
      <c r="B70" t="n">
        <v>34.5297228008332</v>
      </c>
      <c r="C70" t="n">
        <v>64</v>
      </c>
      <c r="D70" t="n">
        <v>0</v>
      </c>
    </row>
    <row r="71">
      <c r="A71" t="n">
        <v>87</v>
      </c>
      <c r="B71" t="n">
        <v>36.51263742951032</v>
      </c>
      <c r="C71" t="n">
        <v>32</v>
      </c>
      <c r="D71" t="n">
        <v>0</v>
      </c>
    </row>
    <row r="72">
      <c r="A72" t="n">
        <v>86</v>
      </c>
      <c r="B72" t="n">
        <v>28.57667584940312</v>
      </c>
      <c r="C72" t="n">
        <v>36</v>
      </c>
      <c r="D72" t="n">
        <v>0</v>
      </c>
    </row>
    <row r="73">
      <c r="A73" t="n">
        <v>87</v>
      </c>
      <c r="B73" t="n">
        <v>31.97501487209995</v>
      </c>
      <c r="C73" t="n">
        <v>34</v>
      </c>
      <c r="D73" t="n">
        <v>0</v>
      </c>
    </row>
    <row r="74">
      <c r="A74" t="n">
        <v>84</v>
      </c>
      <c r="B74" t="n">
        <v>32.2707877657858</v>
      </c>
      <c r="C74" t="n">
        <v>29</v>
      </c>
      <c r="D74" t="n">
        <v>0</v>
      </c>
    </row>
    <row r="75">
      <c r="A75" t="n">
        <v>84</v>
      </c>
      <c r="B75" t="n">
        <v>30.27681660899654</v>
      </c>
      <c r="C75" t="n">
        <v>35</v>
      </c>
      <c r="D75" t="n">
        <v>0</v>
      </c>
    </row>
    <row r="76">
      <c r="A76" t="n">
        <v>90</v>
      </c>
      <c r="B76" t="n">
        <v>30.48315805517451</v>
      </c>
      <c r="C76" t="n">
        <v>54</v>
      </c>
      <c r="D76" t="n">
        <v>0</v>
      </c>
    </row>
    <row r="77">
      <c r="A77" t="n">
        <v>83</v>
      </c>
      <c r="B77" t="n">
        <v>37.03560819412831</v>
      </c>
      <c r="C77" t="n">
        <v>45</v>
      </c>
      <c r="D77" t="n">
        <v>0</v>
      </c>
    </row>
    <row r="78">
      <c r="A78" t="n">
        <v>106</v>
      </c>
      <c r="B78" t="n">
        <v>38.57875853555032</v>
      </c>
      <c r="C78" t="n">
        <v>50</v>
      </c>
      <c r="D78" t="n">
        <v>0</v>
      </c>
    </row>
    <row r="79">
      <c r="A79" t="n">
        <v>90</v>
      </c>
      <c r="B79" t="n">
        <v>31.44654088050314</v>
      </c>
      <c r="C79" t="n">
        <v>66</v>
      </c>
      <c r="D79" t="n">
        <v>0</v>
      </c>
    </row>
    <row r="80">
      <c r="A80" t="n">
        <v>90</v>
      </c>
      <c r="B80" t="n">
        <v>35.25076109597821</v>
      </c>
      <c r="C80" t="n">
        <v>35</v>
      </c>
      <c r="D80" t="n">
        <v>0</v>
      </c>
    </row>
    <row r="81">
      <c r="A81" t="n">
        <v>80</v>
      </c>
      <c r="B81" t="n">
        <v>34.17488999957281</v>
      </c>
      <c r="C81" t="n">
        <v>36</v>
      </c>
      <c r="D81" t="n">
        <v>0</v>
      </c>
    </row>
    <row r="82">
      <c r="A82" t="n">
        <v>101</v>
      </c>
      <c r="B82" t="n">
        <v>36.21227887617065</v>
      </c>
      <c r="C82" t="n">
        <v>66</v>
      </c>
      <c r="D82" t="n">
        <v>0</v>
      </c>
    </row>
    <row r="83">
      <c r="A83" t="n">
        <v>101</v>
      </c>
      <c r="B83" t="n">
        <v>36.79016620498615</v>
      </c>
      <c r="C83" t="n">
        <v>53</v>
      </c>
      <c r="D83" t="n">
        <v>0</v>
      </c>
    </row>
    <row r="84">
      <c r="A84" t="n">
        <v>87</v>
      </c>
      <c r="B84" t="n">
        <v>35.85581466239901</v>
      </c>
      <c r="C84" t="n">
        <v>28</v>
      </c>
      <c r="D84" t="n">
        <v>0</v>
      </c>
    </row>
    <row r="85">
      <c r="A85" t="n">
        <v>89</v>
      </c>
      <c r="B85" t="n">
        <v>34.42217361683818</v>
      </c>
      <c r="C85" t="n">
        <v>43</v>
      </c>
      <c r="D85" t="n">
        <v>0</v>
      </c>
    </row>
    <row r="86">
      <c r="A86" t="n">
        <v>77</v>
      </c>
      <c r="B86" t="n">
        <v>27.68877813377635</v>
      </c>
      <c r="C86" t="n">
        <v>51</v>
      </c>
      <c r="D86" t="n">
        <v>0</v>
      </c>
    </row>
    <row r="87">
      <c r="A87" t="n">
        <v>79</v>
      </c>
      <c r="B87" t="n">
        <v>29.60676726108824</v>
      </c>
      <c r="C87" t="n">
        <v>67</v>
      </c>
      <c r="D87" t="n">
        <v>0</v>
      </c>
    </row>
    <row r="88">
      <c r="A88" t="n">
        <v>82</v>
      </c>
      <c r="B88" t="n">
        <v>31.23858980080328</v>
      </c>
      <c r="C88" t="n">
        <v>66</v>
      </c>
      <c r="D88" t="n">
        <v>0</v>
      </c>
    </row>
    <row r="89">
      <c r="A89" t="n">
        <v>101</v>
      </c>
      <c r="B89" t="n">
        <v>35.09270152947381</v>
      </c>
      <c r="C89" t="n">
        <v>69</v>
      </c>
      <c r="D89" t="n">
        <v>0</v>
      </c>
    </row>
    <row r="90">
      <c r="A90" t="n">
        <v>103</v>
      </c>
      <c r="B90" t="n">
        <v>26.34929207978087</v>
      </c>
      <c r="C90" t="n">
        <v>60</v>
      </c>
      <c r="D90" t="n">
        <v>0</v>
      </c>
    </row>
    <row r="91">
      <c r="A91" t="n">
        <v>76</v>
      </c>
      <c r="B91" t="n">
        <v>35.58792924037461</v>
      </c>
      <c r="C91" t="n">
        <v>77</v>
      </c>
      <c r="D91" t="n">
        <v>0</v>
      </c>
    </row>
    <row r="92">
      <c r="A92" t="n">
        <v>83</v>
      </c>
      <c r="B92" t="n">
        <v>29.21840759678598</v>
      </c>
      <c r="C92" t="n">
        <v>76</v>
      </c>
      <c r="D92" t="n">
        <v>0</v>
      </c>
    </row>
    <row r="93">
      <c r="A93" t="n">
        <v>94</v>
      </c>
      <c r="B93" t="n">
        <v>27.2</v>
      </c>
      <c r="C93" t="n">
        <v>76</v>
      </c>
      <c r="D93" t="n">
        <v>0</v>
      </c>
    </row>
    <row r="94">
      <c r="A94" t="n">
        <v>85</v>
      </c>
      <c r="B94" t="n">
        <v>27.3</v>
      </c>
      <c r="C94" t="n">
        <v>75</v>
      </c>
      <c r="D94" t="n">
        <v>0</v>
      </c>
    </row>
    <row r="95">
      <c r="A95" t="n">
        <v>93</v>
      </c>
      <c r="B95" t="n">
        <v>32.5</v>
      </c>
      <c r="C95" t="n">
        <v>69</v>
      </c>
      <c r="D95" t="n">
        <v>0</v>
      </c>
    </row>
    <row r="96">
      <c r="A96" t="n">
        <v>102</v>
      </c>
      <c r="B96" t="n">
        <v>30.3</v>
      </c>
      <c r="C96" t="n">
        <v>71</v>
      </c>
      <c r="D96" t="n">
        <v>0</v>
      </c>
    </row>
    <row r="97">
      <c r="A97" t="n">
        <v>90</v>
      </c>
      <c r="B97" t="n">
        <v>27.7</v>
      </c>
      <c r="C97" t="n">
        <v>66</v>
      </c>
      <c r="D97" t="n">
        <v>0</v>
      </c>
    </row>
    <row r="98">
      <c r="A98" t="n">
        <v>94</v>
      </c>
      <c r="B98" t="n">
        <v>25.7</v>
      </c>
      <c r="C98" t="n">
        <v>75</v>
      </c>
      <c r="D98" t="n">
        <v>0</v>
      </c>
    </row>
    <row r="99">
      <c r="A99" t="n">
        <v>60</v>
      </c>
      <c r="B99" t="n">
        <v>25.3</v>
      </c>
      <c r="C99" t="n">
        <v>78</v>
      </c>
      <c r="D99" t="n">
        <v>0</v>
      </c>
    </row>
    <row r="100">
      <c r="A100" t="n">
        <v>89</v>
      </c>
      <c r="B100" t="n">
        <v>29.4</v>
      </c>
      <c r="C100" t="n">
        <v>69</v>
      </c>
      <c r="D100" t="n">
        <v>0</v>
      </c>
    </row>
    <row r="101">
      <c r="A101" t="n">
        <v>96</v>
      </c>
      <c r="B101" t="n">
        <v>26.6</v>
      </c>
      <c r="C101" t="n">
        <v>85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2026-05-27T03:10:38Z</dcterms:created>
  <dcterms:modified xsi:type="dcterms:W3CDTF">2026-05-27T03:10:38Z</dcterms:modified>
</cp:coreProperties>
</file>